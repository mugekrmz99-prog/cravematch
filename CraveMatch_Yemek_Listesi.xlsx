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emek Listesi" sheetId="1" state="visible" r:id="rId3"/>
    <sheet name="Özet" sheetId="2" state="visible" r:id="rId4"/>
  </sheets>
  <definedNames>
    <definedName function="false" hidden="true" localSheetId="0" name="_xlnm._FilterDatabase" vbProcedure="false">'Yemek Listesi'!$A$1:$I$61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<sst xmlns="http://schemas.openxmlformats.org/spreadsheetml/2006/main" count="351" uniqueCount="181">
  <si>
    <t xml:space="preserve">#</t>
  </si>
  <si>
    <t xml:space="preserve">Yemek adı</t>
  </si>
  <si>
    <t xml:space="preserve">Tür</t>
  </si>
  <si>
    <t xml:space="preserve">Kategori</t>
  </si>
  <si>
    <t xml:space="preserve">Süre (dk)</t>
  </si>
  <si>
    <t xml:space="preserve">Zorluk</t>
  </si>
  <si>
    <t xml:space="preserve">Alerjenler</t>
  </si>
  <si>
    <t xml:space="preserve">Görsel dosya adı</t>
  </si>
  <si>
    <t xml:space="preserve">Kontrol edildi</t>
  </si>
  <si>
    <t xml:space="preserve">Menemen</t>
  </si>
  <si>
    <t xml:space="preserve">evde</t>
  </si>
  <si>
    <t xml:space="preserve">Hızlı ve pratik</t>
  </si>
  <si>
    <t xml:space="preserve">kolay</t>
  </si>
  <si>
    <t xml:space="preserve">yumurta</t>
  </si>
  <si>
    <t xml:space="preserve">001_menemen.jpg</t>
  </si>
  <si>
    <t xml:space="preserve">Sucuklu yumurta</t>
  </si>
  <si>
    <t xml:space="preserve">002_sucuklu_yumurta.jpg</t>
  </si>
  <si>
    <t xml:space="preserve">Shakshuka</t>
  </si>
  <si>
    <t xml:space="preserve">003_shakshuka.jpg</t>
  </si>
  <si>
    <t xml:space="preserve">Gözleme</t>
  </si>
  <si>
    <t xml:space="preserve">orta</t>
  </si>
  <si>
    <t xml:space="preserve">gluten, süt</t>
  </si>
  <si>
    <t xml:space="preserve">004_gozleme.jpg</t>
  </si>
  <si>
    <t xml:space="preserve">Mücver</t>
  </si>
  <si>
    <t xml:space="preserve">gluten, yumurta, süt</t>
  </si>
  <si>
    <t xml:space="preserve">005_mucver.jpg</t>
  </si>
  <si>
    <t xml:space="preserve">Tavuklu quesadilla</t>
  </si>
  <si>
    <t xml:space="preserve">006_tavuklu_quesadilla.jpg</t>
  </si>
  <si>
    <t xml:space="preserve">Kremalı mantarlı makarna</t>
  </si>
  <si>
    <t xml:space="preserve">Makarna ve hamur işi</t>
  </si>
  <si>
    <t xml:space="preserve">gluten, süt, yumurta</t>
  </si>
  <si>
    <t xml:space="preserve">007_kremali_mantarli_makarna.jpg</t>
  </si>
  <si>
    <t xml:space="preserve">Aglio e olio</t>
  </si>
  <si>
    <t xml:space="preserve">gluten</t>
  </si>
  <si>
    <t xml:space="preserve">008_aglio_e_olio.jpg</t>
  </si>
  <si>
    <t xml:space="preserve">Penne arrabbiata</t>
  </si>
  <si>
    <t xml:space="preserve">009_penne_arrabbiata.jpg</t>
  </si>
  <si>
    <t xml:space="preserve">Fırında makarna</t>
  </si>
  <si>
    <t xml:space="preserve">010_firinda_makarna.jpg</t>
  </si>
  <si>
    <t xml:space="preserve">Lazanya</t>
  </si>
  <si>
    <t xml:space="preserve">011_lazanya.jpg</t>
  </si>
  <si>
    <t xml:space="preserve">Ev yapımı pizza</t>
  </si>
  <si>
    <t xml:space="preserve">012_ev_yapimi_pizza.jpg</t>
  </si>
  <si>
    <t xml:space="preserve">Mantı</t>
  </si>
  <si>
    <t xml:space="preserve">zor</t>
  </si>
  <si>
    <t xml:space="preserve">013_manti.jpg</t>
  </si>
  <si>
    <t xml:space="preserve">Tavuk sote</t>
  </si>
  <si>
    <t xml:space="preserve">Et ve tavuk</t>
  </si>
  <si>
    <t xml:space="preserve">yok (standart tarif)</t>
  </si>
  <si>
    <t xml:space="preserve">014_tavuk_sote.jpg</t>
  </si>
  <si>
    <t xml:space="preserve">Fırında tavuk-patates</t>
  </si>
  <si>
    <t xml:space="preserve">015_firinda_tavuk_patates.jpg</t>
  </si>
  <si>
    <t xml:space="preserve">Köfte &amp; patates püresi</t>
  </si>
  <si>
    <t xml:space="preserve">016_kofte_patates_puresi.jpg</t>
  </si>
  <si>
    <t xml:space="preserve">Çıtır tavuk</t>
  </si>
  <si>
    <t xml:space="preserve">017_citir_tavuk.jpg</t>
  </si>
  <si>
    <t xml:space="preserve">Fajita</t>
  </si>
  <si>
    <t xml:space="preserve">018_fajita.jpg</t>
  </si>
  <si>
    <t xml:space="preserve">Köri soslu tavuk pilav</t>
  </si>
  <si>
    <t xml:space="preserve">süt</t>
  </si>
  <si>
    <t xml:space="preserve">019_kori_soslu_tavuk_pilav.jpg</t>
  </si>
  <si>
    <t xml:space="preserve">Ev yapımı hamburger</t>
  </si>
  <si>
    <t xml:space="preserve">gluten, yumurta, süt, susam</t>
  </si>
  <si>
    <t xml:space="preserve">020_ev_yapimi_hamburger.jpg</t>
  </si>
  <si>
    <t xml:space="preserve">Kuru fasulye &amp; pilav</t>
  </si>
  <si>
    <t xml:space="preserve">Geleneksel</t>
  </si>
  <si>
    <t xml:space="preserve">021_kuru_fasulye_pilav.jpg</t>
  </si>
  <si>
    <t xml:space="preserve">Karnıyarık</t>
  </si>
  <si>
    <t xml:space="preserve">022_karniyarik.jpg</t>
  </si>
  <si>
    <t xml:space="preserve">Hünkar beğendi</t>
  </si>
  <si>
    <t xml:space="preserve">023_hunkar_begendi.jpg</t>
  </si>
  <si>
    <t xml:space="preserve">İmam bayıldı</t>
  </si>
  <si>
    <t xml:space="preserve">024_imam_bayildi.jpg</t>
  </si>
  <si>
    <t xml:space="preserve">Mercimek çorbası</t>
  </si>
  <si>
    <t xml:space="preserve">025_mercimek_corbasi.jpg</t>
  </si>
  <si>
    <t xml:space="preserve">Ezogelin çorbası</t>
  </si>
  <si>
    <t xml:space="preserve">026_ezogelin_corbasi.jpg</t>
  </si>
  <si>
    <t xml:space="preserve">Fırında somon &amp; sebze</t>
  </si>
  <si>
    <t xml:space="preserve">Hafif ve özel</t>
  </si>
  <si>
    <t xml:space="preserve">balık</t>
  </si>
  <si>
    <t xml:space="preserve">027_firinda_somon_sebze.jpg</t>
  </si>
  <si>
    <t xml:space="preserve">Sezar salata</t>
  </si>
  <si>
    <t xml:space="preserve">gluten, yumurta, süt, balık</t>
  </si>
  <si>
    <t xml:space="preserve">028_sezar_salata.jpg</t>
  </si>
  <si>
    <t xml:space="preserve">San Sebastian cheesecake</t>
  </si>
  <si>
    <t xml:space="preserve">Tatlı</t>
  </si>
  <si>
    <t xml:space="preserve">süt, yumurta, gluten</t>
  </si>
  <si>
    <t xml:space="preserve">029_san_sebastian_cheesecake.jpg</t>
  </si>
  <si>
    <t xml:space="preserve">Fırında sütlaç</t>
  </si>
  <si>
    <t xml:space="preserve">030_firinda_sutlac.jpg</t>
  </si>
  <si>
    <t xml:space="preserve">Tavuk döner</t>
  </si>
  <si>
    <t xml:space="preserve">siparis</t>
  </si>
  <si>
    <t xml:space="preserve">Döner ve kebap</t>
  </si>
  <si>
    <t xml:space="preserve">031_tavuk_doner.jpg</t>
  </si>
  <si>
    <t xml:space="preserve">İskender</t>
  </si>
  <si>
    <t xml:space="preserve">032_iskender.jpg</t>
  </si>
  <si>
    <t xml:space="preserve">Adana kebap</t>
  </si>
  <si>
    <t xml:space="preserve">033_adana_kebap.jpg</t>
  </si>
  <si>
    <t xml:space="preserve">İnegöl köfte</t>
  </si>
  <si>
    <t xml:space="preserve">034_inegol_kofte.jpg</t>
  </si>
  <si>
    <t xml:space="preserve">Izgara köfte</t>
  </si>
  <si>
    <t xml:space="preserve">gluten, yumurta</t>
  </si>
  <si>
    <t xml:space="preserve">035_izgara_kofte.jpg</t>
  </si>
  <si>
    <t xml:space="preserve">Tantuni</t>
  </si>
  <si>
    <t xml:space="preserve">036_tantuni.jpg</t>
  </si>
  <si>
    <t xml:space="preserve">Lahmacun</t>
  </si>
  <si>
    <t xml:space="preserve">Hamur ve fırın</t>
  </si>
  <si>
    <t xml:space="preserve">037_lahmacun.jpg</t>
  </si>
  <si>
    <t xml:space="preserve">Kuşbaşılı pide</t>
  </si>
  <si>
    <t xml:space="preserve">038_kusbasili_pide.jpg</t>
  </si>
  <si>
    <t xml:space="preserve">Etli ekmek</t>
  </si>
  <si>
    <t xml:space="preserve">039_etli_ekmek.jpg</t>
  </si>
  <si>
    <t xml:space="preserve">Pizza</t>
  </si>
  <si>
    <t xml:space="preserve">040_pizza.jpg</t>
  </si>
  <si>
    <t xml:space="preserve">Kokoreç</t>
  </si>
  <si>
    <t xml:space="preserve">Sokak lezzeti</t>
  </si>
  <si>
    <t xml:space="preserve">041_kokorec.jpg</t>
  </si>
  <si>
    <t xml:space="preserve">Çiğ köfte dürüm</t>
  </si>
  <si>
    <t xml:space="preserve">042_cig_kofte_durum.jpg</t>
  </si>
  <si>
    <t xml:space="preserve">Kumpir</t>
  </si>
  <si>
    <t xml:space="preserve">süt, yumurta</t>
  </si>
  <si>
    <t xml:space="preserve">043_kumpir.jpg</t>
  </si>
  <si>
    <t xml:space="preserve">Midye tava</t>
  </si>
  <si>
    <t xml:space="preserve">deniz ürünü (yumuşakça), gluten, yumurta</t>
  </si>
  <si>
    <t xml:space="preserve">044_midye_tava.jpg</t>
  </si>
  <si>
    <t xml:space="preserve">Balık ekmek</t>
  </si>
  <si>
    <t xml:space="preserve">balık, gluten</t>
  </si>
  <si>
    <t xml:space="preserve">045_balik_ekmek.jpg</t>
  </si>
  <si>
    <t xml:space="preserve">Tavuk wrap</t>
  </si>
  <si>
    <t xml:space="preserve">046_tavuk_wrap.jpg</t>
  </si>
  <si>
    <t xml:space="preserve">Hamburger</t>
  </si>
  <si>
    <t xml:space="preserve">Fast food</t>
  </si>
  <si>
    <t xml:space="preserve">gluten, süt, yumurta, susam</t>
  </si>
  <si>
    <t xml:space="preserve">047_hamburger.jpg</t>
  </si>
  <si>
    <t xml:space="preserve">Islak hamburger</t>
  </si>
  <si>
    <t xml:space="preserve">048_islak_hamburger.jpg</t>
  </si>
  <si>
    <t xml:space="preserve">Tavuk kanat</t>
  </si>
  <si>
    <t xml:space="preserve">049_tavuk_kanat.jpg</t>
  </si>
  <si>
    <t xml:space="preserve">Fast food menüsü</t>
  </si>
  <si>
    <t xml:space="preserve">050_fast_food_menusu.jpg</t>
  </si>
  <si>
    <t xml:space="preserve">Sushi</t>
  </si>
  <si>
    <t xml:space="preserve">Dünya mutfağı</t>
  </si>
  <si>
    <t xml:space="preserve">balık/deniz ürünü, soya, gluten, susam</t>
  </si>
  <si>
    <t xml:space="preserve">051_sushi.jpg</t>
  </si>
  <si>
    <t xml:space="preserve">Ramen</t>
  </si>
  <si>
    <t xml:space="preserve">gluten, soya, yumurta, susam</t>
  </si>
  <si>
    <t xml:space="preserve">052_ramen.jpg</t>
  </si>
  <si>
    <t xml:space="preserve">Çin noodle</t>
  </si>
  <si>
    <t xml:space="preserve">053_cin_noodle.jpg</t>
  </si>
  <si>
    <t xml:space="preserve">Poke bowl</t>
  </si>
  <si>
    <t xml:space="preserve">balık, soya, susam</t>
  </si>
  <si>
    <t xml:space="preserve">054_poke_bowl.jpg</t>
  </si>
  <si>
    <t xml:space="preserve">Serpme kahvaltı</t>
  </si>
  <si>
    <t xml:space="preserve">Sofra ve özel gün</t>
  </si>
  <si>
    <t xml:space="preserve">yumurta, süt, gluten, kuruyemiş, susam</t>
  </si>
  <si>
    <t xml:space="preserve">055_serpme_kahvalti.jpg</t>
  </si>
  <si>
    <t xml:space="preserve">Meze akşamı</t>
  </si>
  <si>
    <t xml:space="preserve">süt, gluten, yumurta, kuruyemiş, susam</t>
  </si>
  <si>
    <t xml:space="preserve">056_meze_aksami.jpg</t>
  </si>
  <si>
    <t xml:space="preserve">Steak</t>
  </si>
  <si>
    <t xml:space="preserve">057_steak.jpg</t>
  </si>
  <si>
    <t xml:space="preserve">Künefe</t>
  </si>
  <si>
    <t xml:space="preserve">gluten, süt, kuruyemiş</t>
  </si>
  <si>
    <t xml:space="preserve">058_kunefe.jpg</t>
  </si>
  <si>
    <t xml:space="preserve">Baklava / tatlıcı</t>
  </si>
  <si>
    <t xml:space="preserve">gluten, kuruyemiş, süt</t>
  </si>
  <si>
    <t xml:space="preserve">059_baklava_tatlici.jpg</t>
  </si>
  <si>
    <t xml:space="preserve">Waffle</t>
  </si>
  <si>
    <t xml:space="preserve">060_waffle.jpg</t>
  </si>
  <si>
    <t xml:space="preserve">CraveMatch – Liste özeti</t>
  </si>
  <si>
    <t xml:space="preserve">Toplam yemek</t>
  </si>
  <si>
    <t xml:space="preserve">Evde yap</t>
  </si>
  <si>
    <t xml:space="preserve">Sipariş ver / dışarıda ye</t>
  </si>
  <si>
    <t xml:space="preserve">Alerjen kontrolü yapılan</t>
  </si>
  <si>
    <t xml:space="preserve">Kontrol bekleyen</t>
  </si>
  <si>
    <t xml:space="preserve">Notlar:</t>
  </si>
  <si>
    <t xml:space="preserve">• Alerjenler 'standart tarif' varsayımıyla yazılmış TASLAKTIR. Kendi tarifine göre kontrol et, düzelt ve 'Kontrol edildi' sütununa ✓ koy. Alerji filtresi güvenlik meselesi olduğu için ✓ olmayan satırı uygulamaya aktarma.</t>
  </si>
  <si>
    <t xml:space="preserve">• Süre ve zorluk değerleri yaklaşık tahmindir (hamur dinlendirme, ıslatma, soğutma süreleri dahil değil), kendi deneyimine göre güncelle.</t>
  </si>
  <si>
    <t xml:space="preserve">• Sipariş yemeklerinde alerjenler restorana göre değişebilir; süre/zorluk boş bırakıldı.</t>
  </si>
  <si>
    <t xml:space="preserve">• Mantı, pizza, hamburger gibi hem evde hem sipariş olabilen yemekler 'evde' ya da 'siparis' tarafında bir kez geçiyor; ikinci mini karar ekranı fikri için ayrıca çoğaltabilirsin.</t>
  </si>
  <si>
    <t xml:space="preserve">• Görsel dosya adı sütunu Gemini çıktılarını adlandırmak içindir.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</si>
</sst>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6777"/>
        <bgColor rgb="FF008080"/>
      </patternFill>
    </fill>
    <fill>
      <patternFill patternType="solid">
        <fgColor rgb="FFFBE3DC"/>
        <bgColor rgb="FFD5E8EC"/>
      </patternFill>
    </fill>
    <fill>
      <patternFill patternType="solid">
        <fgColor rgb="FFD5E8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B677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E8EC"/>
          <bgColor rgb="FF000000"/>
        </patternFill>
      </fill>
    </dxf>
    <dxf>
      <fill>
        <patternFill patternType="solid">
          <fgColor rgb="FFFBE3D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B6777"/>
      <rgbColor rgb="FFBFBFBF"/>
      <rgbColor rgb="FF808080"/>
      <rgbColor rgb="FF9999FF"/>
      <rgbColor rgb="FF993366"/>
      <rgbColor rgb="FFFBE3DC"/>
      <rgbColor rgb="FFD5E8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4" t="s">
        <v>10</v>
      </c>
      <c r="D2" s="3" t="s">
        <v>11</v>
      </c>
      <c r="E2" s="2" t="n">
        <v>15</v>
      </c>
      <c r="F2" s="2" t="s">
        <v>12</v>
      </c>
      <c r="G2" s="3" t="s">
        <v>13</v>
      </c>
      <c r="H2" s="3" t="s">
        <v>14</v>
      </c>
      <c r="I2" s="2"/>
    </row>
    <row r="3" customFormat="false" ht="15" hidden="false" customHeight="false" outlineLevel="0" collapsed="false">
      <c r="A3" s="2" t="n">
        <v>2</v>
      </c>
      <c r="B3" s="3" t="s">
        <v>15</v>
      </c>
      <c r="C3" s="4" t="s">
        <v>10</v>
      </c>
      <c r="D3" s="3" t="s">
        <v>11</v>
      </c>
      <c r="E3" s="2" t="n">
        <v>10</v>
      </c>
      <c r="F3" s="2" t="s">
        <v>12</v>
      </c>
      <c r="G3" s="3" t="s">
        <v>13</v>
      </c>
      <c r="H3" s="3" t="s">
        <v>16</v>
      </c>
      <c r="I3" s="2"/>
    </row>
    <row r="4" customFormat="false" ht="15" hidden="false" customHeight="false" outlineLevel="0" collapsed="false">
      <c r="A4" s="2" t="n">
        <v>3</v>
      </c>
      <c r="B4" s="3" t="s">
        <v>17</v>
      </c>
      <c r="C4" s="4" t="s">
        <v>10</v>
      </c>
      <c r="D4" s="3" t="s">
        <v>11</v>
      </c>
      <c r="E4" s="2" t="n">
        <v>25</v>
      </c>
      <c r="F4" s="2" t="s">
        <v>12</v>
      </c>
      <c r="G4" s="3" t="s">
        <v>13</v>
      </c>
      <c r="H4" s="3" t="s">
        <v>18</v>
      </c>
      <c r="I4" s="2"/>
    </row>
    <row r="5" customFormat="false" ht="15" hidden="false" customHeight="false" outlineLevel="0" collapsed="false">
      <c r="A5" s="2" t="n">
        <v>4</v>
      </c>
      <c r="B5" s="3" t="s">
        <v>19</v>
      </c>
      <c r="C5" s="4" t="s">
        <v>10</v>
      </c>
      <c r="D5" s="3" t="s">
        <v>11</v>
      </c>
      <c r="E5" s="2" t="n">
        <v>40</v>
      </c>
      <c r="F5" s="2" t="s">
        <v>20</v>
      </c>
      <c r="G5" s="3" t="s">
        <v>21</v>
      </c>
      <c r="H5" s="3" t="s">
        <v>22</v>
      </c>
      <c r="I5" s="2"/>
    </row>
    <row r="6" customFormat="false" ht="15" hidden="false" customHeight="false" outlineLevel="0" collapsed="false">
      <c r="A6" s="2" t="n">
        <v>5</v>
      </c>
      <c r="B6" s="3" t="s">
        <v>23</v>
      </c>
      <c r="C6" s="4" t="s">
        <v>10</v>
      </c>
      <c r="D6" s="3" t="s">
        <v>11</v>
      </c>
      <c r="E6" s="2" t="n">
        <v>35</v>
      </c>
      <c r="F6" s="2" t="s">
        <v>12</v>
      </c>
      <c r="G6" s="3" t="s">
        <v>24</v>
      </c>
      <c r="H6" s="3" t="s">
        <v>25</v>
      </c>
      <c r="I6" s="2"/>
    </row>
    <row r="7" customFormat="false" ht="15" hidden="false" customHeight="false" outlineLevel="0" collapsed="false">
      <c r="A7" s="2" t="n">
        <v>6</v>
      </c>
      <c r="B7" s="3" t="s">
        <v>26</v>
      </c>
      <c r="C7" s="4" t="s">
        <v>10</v>
      </c>
      <c r="D7" s="3" t="s">
        <v>11</v>
      </c>
      <c r="E7" s="2" t="n">
        <v>20</v>
      </c>
      <c r="F7" s="2" t="s">
        <v>12</v>
      </c>
      <c r="G7" s="3" t="s">
        <v>21</v>
      </c>
      <c r="H7" s="3" t="s">
        <v>27</v>
      </c>
      <c r="I7" s="2"/>
    </row>
    <row r="8" customFormat="false" ht="15" hidden="false" customHeight="false" outlineLevel="0" collapsed="false">
      <c r="A8" s="2" t="n">
        <v>7</v>
      </c>
      <c r="B8" s="3" t="s">
        <v>28</v>
      </c>
      <c r="C8" s="4" t="s">
        <v>10</v>
      </c>
      <c r="D8" s="3" t="s">
        <v>29</v>
      </c>
      <c r="E8" s="2" t="n">
        <v>25</v>
      </c>
      <c r="F8" s="2" t="s">
        <v>12</v>
      </c>
      <c r="G8" s="3" t="s">
        <v>30</v>
      </c>
      <c r="H8" s="3" t="s">
        <v>31</v>
      </c>
      <c r="I8" s="2"/>
    </row>
    <row r="9" customFormat="false" ht="15" hidden="false" customHeight="false" outlineLevel="0" collapsed="false">
      <c r="A9" s="2" t="n">
        <v>8</v>
      </c>
      <c r="B9" s="3" t="s">
        <v>32</v>
      </c>
      <c r="C9" s="4" t="s">
        <v>10</v>
      </c>
      <c r="D9" s="3" t="s">
        <v>29</v>
      </c>
      <c r="E9" s="2" t="n">
        <v>20</v>
      </c>
      <c r="F9" s="2" t="s">
        <v>12</v>
      </c>
      <c r="G9" s="3" t="s">
        <v>33</v>
      </c>
      <c r="H9" s="3" t="s">
        <v>34</v>
      </c>
      <c r="I9" s="2"/>
    </row>
    <row r="10" customFormat="false" ht="15" hidden="false" customHeight="false" outlineLevel="0" collapsed="false">
      <c r="A10" s="2" t="n">
        <v>9</v>
      </c>
      <c r="B10" s="3" t="s">
        <v>35</v>
      </c>
      <c r="C10" s="4" t="s">
        <v>10</v>
      </c>
      <c r="D10" s="3" t="s">
        <v>29</v>
      </c>
      <c r="E10" s="2" t="n">
        <v>25</v>
      </c>
      <c r="F10" s="2" t="s">
        <v>12</v>
      </c>
      <c r="G10" s="3" t="s">
        <v>33</v>
      </c>
      <c r="H10" s="3" t="s">
        <v>36</v>
      </c>
      <c r="I10" s="2"/>
    </row>
    <row r="11" customFormat="false" ht="15" hidden="false" customHeight="false" outlineLevel="0" collapsed="false">
      <c r="A11" s="2" t="n">
        <v>10</v>
      </c>
      <c r="B11" s="3" t="s">
        <v>37</v>
      </c>
      <c r="C11" s="4" t="s">
        <v>10</v>
      </c>
      <c r="D11" s="3" t="s">
        <v>29</v>
      </c>
      <c r="E11" s="2" t="n">
        <v>50</v>
      </c>
      <c r="F11" s="2" t="s">
        <v>12</v>
      </c>
      <c r="G11" s="3" t="s">
        <v>30</v>
      </c>
      <c r="H11" s="3" t="s">
        <v>38</v>
      </c>
      <c r="I11" s="2"/>
    </row>
    <row r="12" customFormat="false" ht="15" hidden="false" customHeight="false" outlineLevel="0" collapsed="false">
      <c r="A12" s="2" t="n">
        <v>11</v>
      </c>
      <c r="B12" s="3" t="s">
        <v>39</v>
      </c>
      <c r="C12" s="4" t="s">
        <v>10</v>
      </c>
      <c r="D12" s="3" t="s">
        <v>29</v>
      </c>
      <c r="E12" s="2" t="n">
        <v>90</v>
      </c>
      <c r="F12" s="2" t="s">
        <v>20</v>
      </c>
      <c r="G12" s="3" t="s">
        <v>30</v>
      </c>
      <c r="H12" s="3" t="s">
        <v>40</v>
      </c>
      <c r="I12" s="2"/>
    </row>
    <row r="13" customFormat="false" ht="15" hidden="false" customHeight="false" outlineLevel="0" collapsed="false">
      <c r="A13" s="2" t="n">
        <v>12</v>
      </c>
      <c r="B13" s="3" t="s">
        <v>41</v>
      </c>
      <c r="C13" s="4" t="s">
        <v>10</v>
      </c>
      <c r="D13" s="3" t="s">
        <v>29</v>
      </c>
      <c r="E13" s="2" t="n">
        <v>90</v>
      </c>
      <c r="F13" s="2" t="s">
        <v>20</v>
      </c>
      <c r="G13" s="3" t="s">
        <v>21</v>
      </c>
      <c r="H13" s="3" t="s">
        <v>42</v>
      </c>
      <c r="I13" s="2"/>
    </row>
    <row r="14" customFormat="false" ht="15" hidden="false" customHeight="false" outlineLevel="0" collapsed="false">
      <c r="A14" s="2" t="n">
        <v>13</v>
      </c>
      <c r="B14" s="3" t="s">
        <v>43</v>
      </c>
      <c r="C14" s="4" t="s">
        <v>10</v>
      </c>
      <c r="D14" s="3" t="s">
        <v>29</v>
      </c>
      <c r="E14" s="2" t="n">
        <v>120</v>
      </c>
      <c r="F14" s="2" t="s">
        <v>44</v>
      </c>
      <c r="G14" s="3" t="s">
        <v>24</v>
      </c>
      <c r="H14" s="3" t="s">
        <v>45</v>
      </c>
      <c r="I14" s="2"/>
    </row>
    <row r="15" customFormat="false" ht="15" hidden="false" customHeight="false" outlineLevel="0" collapsed="false">
      <c r="A15" s="2" t="n">
        <v>14</v>
      </c>
      <c r="B15" s="3" t="s">
        <v>46</v>
      </c>
      <c r="C15" s="4" t="s">
        <v>10</v>
      </c>
      <c r="D15" s="3" t="s">
        <v>47</v>
      </c>
      <c r="E15" s="2" t="n">
        <v>30</v>
      </c>
      <c r="F15" s="2" t="s">
        <v>12</v>
      </c>
      <c r="G15" s="3" t="s">
        <v>48</v>
      </c>
      <c r="H15" s="3" t="s">
        <v>49</v>
      </c>
      <c r="I15" s="2"/>
    </row>
    <row r="16" customFormat="false" ht="15" hidden="false" customHeight="false" outlineLevel="0" collapsed="false">
      <c r="A16" s="2" t="n">
        <v>15</v>
      </c>
      <c r="B16" s="3" t="s">
        <v>50</v>
      </c>
      <c r="C16" s="4" t="s">
        <v>10</v>
      </c>
      <c r="D16" s="3" t="s">
        <v>47</v>
      </c>
      <c r="E16" s="2" t="n">
        <v>60</v>
      </c>
      <c r="F16" s="2" t="s">
        <v>12</v>
      </c>
      <c r="G16" s="3" t="s">
        <v>48</v>
      </c>
      <c r="H16" s="3" t="s">
        <v>51</v>
      </c>
      <c r="I16" s="2"/>
    </row>
    <row r="17" customFormat="false" ht="15" hidden="false" customHeight="false" outlineLevel="0" collapsed="false">
      <c r="A17" s="2" t="n">
        <v>16</v>
      </c>
      <c r="B17" s="3" t="s">
        <v>52</v>
      </c>
      <c r="C17" s="4" t="s">
        <v>10</v>
      </c>
      <c r="D17" s="3" t="s">
        <v>47</v>
      </c>
      <c r="E17" s="2" t="n">
        <v>50</v>
      </c>
      <c r="F17" s="2" t="s">
        <v>20</v>
      </c>
      <c r="G17" s="3" t="s">
        <v>24</v>
      </c>
      <c r="H17" s="3" t="s">
        <v>53</v>
      </c>
      <c r="I17" s="2"/>
    </row>
    <row r="18" customFormat="false" ht="15" hidden="false" customHeight="false" outlineLevel="0" collapsed="false">
      <c r="A18" s="2" t="n">
        <v>17</v>
      </c>
      <c r="B18" s="3" t="s">
        <v>54</v>
      </c>
      <c r="C18" s="4" t="s">
        <v>10</v>
      </c>
      <c r="D18" s="3" t="s">
        <v>47</v>
      </c>
      <c r="E18" s="2" t="n">
        <v>40</v>
      </c>
      <c r="F18" s="2" t="s">
        <v>20</v>
      </c>
      <c r="G18" s="3" t="s">
        <v>24</v>
      </c>
      <c r="H18" s="3" t="s">
        <v>55</v>
      </c>
      <c r="I18" s="2"/>
    </row>
    <row r="19" customFormat="false" ht="15" hidden="false" customHeight="false" outlineLevel="0" collapsed="false">
      <c r="A19" s="2" t="n">
        <v>18</v>
      </c>
      <c r="B19" s="3" t="s">
        <v>56</v>
      </c>
      <c r="C19" s="4" t="s">
        <v>10</v>
      </c>
      <c r="D19" s="3" t="s">
        <v>47</v>
      </c>
      <c r="E19" s="2" t="n">
        <v>35</v>
      </c>
      <c r="F19" s="2" t="s">
        <v>12</v>
      </c>
      <c r="G19" s="3" t="s">
        <v>21</v>
      </c>
      <c r="H19" s="3" t="s">
        <v>57</v>
      </c>
      <c r="I19" s="2"/>
    </row>
    <row r="20" customFormat="false" ht="15" hidden="false" customHeight="false" outlineLevel="0" collapsed="false">
      <c r="A20" s="2" t="n">
        <v>19</v>
      </c>
      <c r="B20" s="3" t="s">
        <v>58</v>
      </c>
      <c r="C20" s="4" t="s">
        <v>10</v>
      </c>
      <c r="D20" s="3" t="s">
        <v>47</v>
      </c>
      <c r="E20" s="2" t="n">
        <v>45</v>
      </c>
      <c r="F20" s="2" t="s">
        <v>12</v>
      </c>
      <c r="G20" s="3" t="s">
        <v>59</v>
      </c>
      <c r="H20" s="3" t="s">
        <v>60</v>
      </c>
      <c r="I20" s="2"/>
    </row>
    <row r="21" customFormat="false" ht="15" hidden="false" customHeight="false" outlineLevel="0" collapsed="false">
      <c r="A21" s="2" t="n">
        <v>20</v>
      </c>
      <c r="B21" s="3" t="s">
        <v>61</v>
      </c>
      <c r="C21" s="4" t="s">
        <v>10</v>
      </c>
      <c r="D21" s="3" t="s">
        <v>47</v>
      </c>
      <c r="E21" s="2" t="n">
        <v>50</v>
      </c>
      <c r="F21" s="2" t="s">
        <v>20</v>
      </c>
      <c r="G21" s="3" t="s">
        <v>62</v>
      </c>
      <c r="H21" s="3" t="s">
        <v>63</v>
      </c>
      <c r="I21" s="2"/>
    </row>
    <row r="22" customFormat="false" ht="15" hidden="false" customHeight="false" outlineLevel="0" collapsed="false">
      <c r="A22" s="2" t="n">
        <v>21</v>
      </c>
      <c r="B22" s="3" t="s">
        <v>64</v>
      </c>
      <c r="C22" s="4" t="s">
        <v>10</v>
      </c>
      <c r="D22" s="3" t="s">
        <v>65</v>
      </c>
      <c r="E22" s="2" t="n">
        <v>90</v>
      </c>
      <c r="F22" s="2" t="s">
        <v>20</v>
      </c>
      <c r="G22" s="3" t="s">
        <v>21</v>
      </c>
      <c r="H22" s="3" t="s">
        <v>66</v>
      </c>
      <c r="I22" s="2"/>
    </row>
    <row r="23" customFormat="false" ht="15" hidden="false" customHeight="false" outlineLevel="0" collapsed="false">
      <c r="A23" s="2" t="n">
        <v>22</v>
      </c>
      <c r="B23" s="3" t="s">
        <v>67</v>
      </c>
      <c r="C23" s="4" t="s">
        <v>10</v>
      </c>
      <c r="D23" s="3" t="s">
        <v>65</v>
      </c>
      <c r="E23" s="2" t="n">
        <v>75</v>
      </c>
      <c r="F23" s="2" t="s">
        <v>20</v>
      </c>
      <c r="G23" s="3" t="s">
        <v>48</v>
      </c>
      <c r="H23" s="3" t="s">
        <v>68</v>
      </c>
      <c r="I23" s="2"/>
    </row>
    <row r="24" customFormat="false" ht="15" hidden="false" customHeight="false" outlineLevel="0" collapsed="false">
      <c r="A24" s="2" t="n">
        <v>23</v>
      </c>
      <c r="B24" s="3" t="s">
        <v>69</v>
      </c>
      <c r="C24" s="4" t="s">
        <v>10</v>
      </c>
      <c r="D24" s="3" t="s">
        <v>65</v>
      </c>
      <c r="E24" s="2" t="n">
        <v>90</v>
      </c>
      <c r="F24" s="2" t="s">
        <v>20</v>
      </c>
      <c r="G24" s="3" t="s">
        <v>21</v>
      </c>
      <c r="H24" s="3" t="s">
        <v>70</v>
      </c>
      <c r="I24" s="2"/>
    </row>
    <row r="25" customFormat="false" ht="15" hidden="false" customHeight="false" outlineLevel="0" collapsed="false">
      <c r="A25" s="2" t="n">
        <v>24</v>
      </c>
      <c r="B25" s="3" t="s">
        <v>71</v>
      </c>
      <c r="C25" s="4" t="s">
        <v>10</v>
      </c>
      <c r="D25" s="3" t="s">
        <v>65</v>
      </c>
      <c r="E25" s="2" t="n">
        <v>75</v>
      </c>
      <c r="F25" s="2" t="s">
        <v>20</v>
      </c>
      <c r="G25" s="3" t="s">
        <v>48</v>
      </c>
      <c r="H25" s="3" t="s">
        <v>72</v>
      </c>
      <c r="I25" s="2"/>
    </row>
    <row r="26" customFormat="false" ht="15" hidden="false" customHeight="false" outlineLevel="0" collapsed="false">
      <c r="A26" s="2" t="n">
        <v>25</v>
      </c>
      <c r="B26" s="3" t="s">
        <v>73</v>
      </c>
      <c r="C26" s="4" t="s">
        <v>10</v>
      </c>
      <c r="D26" s="3" t="s">
        <v>65</v>
      </c>
      <c r="E26" s="2" t="n">
        <v>35</v>
      </c>
      <c r="F26" s="2" t="s">
        <v>12</v>
      </c>
      <c r="G26" s="3" t="s">
        <v>59</v>
      </c>
      <c r="H26" s="3" t="s">
        <v>74</v>
      </c>
      <c r="I26" s="2"/>
    </row>
    <row r="27" customFormat="false" ht="15" hidden="false" customHeight="false" outlineLevel="0" collapsed="false">
      <c r="A27" s="2" t="n">
        <v>26</v>
      </c>
      <c r="B27" s="3" t="s">
        <v>75</v>
      </c>
      <c r="C27" s="4" t="s">
        <v>10</v>
      </c>
      <c r="D27" s="3" t="s">
        <v>65</v>
      </c>
      <c r="E27" s="2" t="n">
        <v>45</v>
      </c>
      <c r="F27" s="2" t="s">
        <v>12</v>
      </c>
      <c r="G27" s="3" t="s">
        <v>21</v>
      </c>
      <c r="H27" s="3" t="s">
        <v>76</v>
      </c>
      <c r="I27" s="2"/>
    </row>
    <row r="28" customFormat="false" ht="15" hidden="false" customHeight="false" outlineLevel="0" collapsed="false">
      <c r="A28" s="2" t="n">
        <v>27</v>
      </c>
      <c r="B28" s="3" t="s">
        <v>77</v>
      </c>
      <c r="C28" s="4" t="s">
        <v>10</v>
      </c>
      <c r="D28" s="3" t="s">
        <v>78</v>
      </c>
      <c r="E28" s="2" t="n">
        <v>30</v>
      </c>
      <c r="F28" s="2" t="s">
        <v>12</v>
      </c>
      <c r="G28" s="3" t="s">
        <v>79</v>
      </c>
      <c r="H28" s="3" t="s">
        <v>80</v>
      </c>
      <c r="I28" s="2"/>
    </row>
    <row r="29" customFormat="false" ht="15" hidden="false" customHeight="false" outlineLevel="0" collapsed="false">
      <c r="A29" s="2" t="n">
        <v>28</v>
      </c>
      <c r="B29" s="3" t="s">
        <v>81</v>
      </c>
      <c r="C29" s="4" t="s">
        <v>10</v>
      </c>
      <c r="D29" s="3" t="s">
        <v>78</v>
      </c>
      <c r="E29" s="2" t="n">
        <v>30</v>
      </c>
      <c r="F29" s="2" t="s">
        <v>12</v>
      </c>
      <c r="G29" s="3" t="s">
        <v>82</v>
      </c>
      <c r="H29" s="3" t="s">
        <v>83</v>
      </c>
      <c r="I29" s="2"/>
    </row>
    <row r="30" customFormat="false" ht="26.85" hidden="false" customHeight="false" outlineLevel="0" collapsed="false">
      <c r="A30" s="2" t="n">
        <v>29</v>
      </c>
      <c r="B30" s="3" t="s">
        <v>84</v>
      </c>
      <c r="C30" s="4" t="s">
        <v>10</v>
      </c>
      <c r="D30" s="3" t="s">
        <v>85</v>
      </c>
      <c r="E30" s="2" t="n">
        <v>75</v>
      </c>
      <c r="F30" s="2" t="s">
        <v>20</v>
      </c>
      <c r="G30" s="3" t="s">
        <v>86</v>
      </c>
      <c r="H30" s="3" t="s">
        <v>87</v>
      </c>
      <c r="I30" s="2"/>
    </row>
    <row r="31" customFormat="false" ht="15" hidden="false" customHeight="false" outlineLevel="0" collapsed="false">
      <c r="A31" s="2" t="n">
        <v>30</v>
      </c>
      <c r="B31" s="3" t="s">
        <v>88</v>
      </c>
      <c r="C31" s="4" t="s">
        <v>10</v>
      </c>
      <c r="D31" s="3" t="s">
        <v>85</v>
      </c>
      <c r="E31" s="2" t="n">
        <v>60</v>
      </c>
      <c r="F31" s="2" t="s">
        <v>20</v>
      </c>
      <c r="G31" s="3" t="s">
        <v>59</v>
      </c>
      <c r="H31" s="3" t="s">
        <v>89</v>
      </c>
      <c r="I31" s="2"/>
    </row>
    <row r="32" customFormat="false" ht="15" hidden="false" customHeight="false" outlineLevel="0" collapsed="false">
      <c r="A32" s="2" t="n">
        <v>31</v>
      </c>
      <c r="B32" s="3" t="s">
        <v>90</v>
      </c>
      <c r="C32" s="5" t="s">
        <v>91</v>
      </c>
      <c r="D32" s="3" t="s">
        <v>92</v>
      </c>
      <c r="E32" s="2"/>
      <c r="F32" s="2"/>
      <c r="G32" s="3" t="s">
        <v>21</v>
      </c>
      <c r="H32" s="3" t="s">
        <v>93</v>
      </c>
      <c r="I32" s="2"/>
    </row>
    <row r="33" customFormat="false" ht="15" hidden="false" customHeight="false" outlineLevel="0" collapsed="false">
      <c r="A33" s="2" t="n">
        <v>32</v>
      </c>
      <c r="B33" s="3" t="s">
        <v>94</v>
      </c>
      <c r="C33" s="5" t="s">
        <v>91</v>
      </c>
      <c r="D33" s="3" t="s">
        <v>92</v>
      </c>
      <c r="E33" s="2"/>
      <c r="F33" s="2"/>
      <c r="G33" s="3" t="s">
        <v>21</v>
      </c>
      <c r="H33" s="3" t="s">
        <v>95</v>
      </c>
      <c r="I33" s="2"/>
    </row>
    <row r="34" customFormat="false" ht="15" hidden="false" customHeight="false" outlineLevel="0" collapsed="false">
      <c r="A34" s="2" t="n">
        <v>33</v>
      </c>
      <c r="B34" s="3" t="s">
        <v>96</v>
      </c>
      <c r="C34" s="5" t="s">
        <v>91</v>
      </c>
      <c r="D34" s="3" t="s">
        <v>92</v>
      </c>
      <c r="E34" s="2"/>
      <c r="F34" s="2"/>
      <c r="G34" s="3" t="s">
        <v>21</v>
      </c>
      <c r="H34" s="3" t="s">
        <v>97</v>
      </c>
      <c r="I34" s="2"/>
    </row>
    <row r="35" customFormat="false" ht="15" hidden="false" customHeight="false" outlineLevel="0" collapsed="false">
      <c r="A35" s="2" t="n">
        <v>34</v>
      </c>
      <c r="B35" s="3" t="s">
        <v>98</v>
      </c>
      <c r="C35" s="5" t="s">
        <v>91</v>
      </c>
      <c r="D35" s="3" t="s">
        <v>92</v>
      </c>
      <c r="E35" s="2"/>
      <c r="F35" s="2"/>
      <c r="G35" s="3" t="s">
        <v>24</v>
      </c>
      <c r="H35" s="3" t="s">
        <v>99</v>
      </c>
      <c r="I35" s="2"/>
    </row>
    <row r="36" customFormat="false" ht="15" hidden="false" customHeight="false" outlineLevel="0" collapsed="false">
      <c r="A36" s="2" t="n">
        <v>35</v>
      </c>
      <c r="B36" s="3" t="s">
        <v>100</v>
      </c>
      <c r="C36" s="5" t="s">
        <v>91</v>
      </c>
      <c r="D36" s="3" t="s">
        <v>92</v>
      </c>
      <c r="E36" s="2"/>
      <c r="F36" s="2"/>
      <c r="G36" s="3" t="s">
        <v>101</v>
      </c>
      <c r="H36" s="3" t="s">
        <v>102</v>
      </c>
      <c r="I36" s="2"/>
    </row>
    <row r="37" customFormat="false" ht="15" hidden="false" customHeight="false" outlineLevel="0" collapsed="false">
      <c r="A37" s="2" t="n">
        <v>36</v>
      </c>
      <c r="B37" s="3" t="s">
        <v>103</v>
      </c>
      <c r="C37" s="5" t="s">
        <v>91</v>
      </c>
      <c r="D37" s="3" t="s">
        <v>92</v>
      </c>
      <c r="E37" s="2"/>
      <c r="F37" s="2"/>
      <c r="G37" s="3" t="s">
        <v>33</v>
      </c>
      <c r="H37" s="3" t="s">
        <v>104</v>
      </c>
      <c r="I37" s="2"/>
    </row>
    <row r="38" customFormat="false" ht="15" hidden="false" customHeight="false" outlineLevel="0" collapsed="false">
      <c r="A38" s="2" t="n">
        <v>37</v>
      </c>
      <c r="B38" s="3" t="s">
        <v>105</v>
      </c>
      <c r="C38" s="5" t="s">
        <v>91</v>
      </c>
      <c r="D38" s="3" t="s">
        <v>106</v>
      </c>
      <c r="E38" s="2"/>
      <c r="F38" s="2"/>
      <c r="G38" s="3" t="s">
        <v>33</v>
      </c>
      <c r="H38" s="3" t="s">
        <v>107</v>
      </c>
      <c r="I38" s="2"/>
    </row>
    <row r="39" customFormat="false" ht="15" hidden="false" customHeight="false" outlineLevel="0" collapsed="false">
      <c r="A39" s="2" t="n">
        <v>38</v>
      </c>
      <c r="B39" s="3" t="s">
        <v>108</v>
      </c>
      <c r="C39" s="5" t="s">
        <v>91</v>
      </c>
      <c r="D39" s="3" t="s">
        <v>106</v>
      </c>
      <c r="E39" s="2"/>
      <c r="F39" s="2"/>
      <c r="G39" s="3" t="s">
        <v>30</v>
      </c>
      <c r="H39" s="3" t="s">
        <v>109</v>
      </c>
      <c r="I39" s="2"/>
    </row>
    <row r="40" customFormat="false" ht="15" hidden="false" customHeight="false" outlineLevel="0" collapsed="false">
      <c r="A40" s="2" t="n">
        <v>39</v>
      </c>
      <c r="B40" s="3" t="s">
        <v>110</v>
      </c>
      <c r="C40" s="5" t="s">
        <v>91</v>
      </c>
      <c r="D40" s="3" t="s">
        <v>106</v>
      </c>
      <c r="E40" s="2"/>
      <c r="F40" s="2"/>
      <c r="G40" s="3" t="s">
        <v>33</v>
      </c>
      <c r="H40" s="3" t="s">
        <v>111</v>
      </c>
      <c r="I40" s="2"/>
    </row>
    <row r="41" customFormat="false" ht="15" hidden="false" customHeight="false" outlineLevel="0" collapsed="false">
      <c r="A41" s="2" t="n">
        <v>40</v>
      </c>
      <c r="B41" s="3" t="s">
        <v>112</v>
      </c>
      <c r="C41" s="5" t="s">
        <v>91</v>
      </c>
      <c r="D41" s="3" t="s">
        <v>106</v>
      </c>
      <c r="E41" s="2"/>
      <c r="F41" s="2"/>
      <c r="G41" s="3" t="s">
        <v>21</v>
      </c>
      <c r="H41" s="3" t="s">
        <v>113</v>
      </c>
      <c r="I41" s="2"/>
    </row>
    <row r="42" customFormat="false" ht="15" hidden="false" customHeight="false" outlineLevel="0" collapsed="false">
      <c r="A42" s="2" t="n">
        <v>41</v>
      </c>
      <c r="B42" s="3" t="s">
        <v>114</v>
      </c>
      <c r="C42" s="5" t="s">
        <v>91</v>
      </c>
      <c r="D42" s="3" t="s">
        <v>115</v>
      </c>
      <c r="E42" s="2"/>
      <c r="F42" s="2"/>
      <c r="G42" s="3" t="s">
        <v>33</v>
      </c>
      <c r="H42" s="3" t="s">
        <v>116</v>
      </c>
      <c r="I42" s="2"/>
    </row>
    <row r="43" customFormat="false" ht="15" hidden="false" customHeight="false" outlineLevel="0" collapsed="false">
      <c r="A43" s="2" t="n">
        <v>42</v>
      </c>
      <c r="B43" s="3" t="s">
        <v>117</v>
      </c>
      <c r="C43" s="5" t="s">
        <v>91</v>
      </c>
      <c r="D43" s="3" t="s">
        <v>115</v>
      </c>
      <c r="E43" s="2"/>
      <c r="F43" s="2"/>
      <c r="G43" s="3" t="s">
        <v>33</v>
      </c>
      <c r="H43" s="3" t="s">
        <v>118</v>
      </c>
      <c r="I43" s="2"/>
    </row>
    <row r="44" customFormat="false" ht="15" hidden="false" customHeight="false" outlineLevel="0" collapsed="false">
      <c r="A44" s="2" t="n">
        <v>43</v>
      </c>
      <c r="B44" s="3" t="s">
        <v>119</v>
      </c>
      <c r="C44" s="5" t="s">
        <v>91</v>
      </c>
      <c r="D44" s="3" t="s">
        <v>115</v>
      </c>
      <c r="E44" s="2"/>
      <c r="F44" s="2"/>
      <c r="G44" s="3" t="s">
        <v>120</v>
      </c>
      <c r="H44" s="3" t="s">
        <v>121</v>
      </c>
      <c r="I44" s="2"/>
    </row>
    <row r="45" customFormat="false" ht="15" hidden="false" customHeight="false" outlineLevel="0" collapsed="false">
      <c r="A45" s="2" t="n">
        <v>44</v>
      </c>
      <c r="B45" s="3" t="s">
        <v>122</v>
      </c>
      <c r="C45" s="5" t="s">
        <v>91</v>
      </c>
      <c r="D45" s="3" t="s">
        <v>115</v>
      </c>
      <c r="E45" s="2"/>
      <c r="F45" s="2"/>
      <c r="G45" s="3" t="s">
        <v>123</v>
      </c>
      <c r="H45" s="3" t="s">
        <v>124</v>
      </c>
      <c r="I45" s="2"/>
    </row>
    <row r="46" customFormat="false" ht="15" hidden="false" customHeight="false" outlineLevel="0" collapsed="false">
      <c r="A46" s="2" t="n">
        <v>45</v>
      </c>
      <c r="B46" s="3" t="s">
        <v>125</v>
      </c>
      <c r="C46" s="5" t="s">
        <v>91</v>
      </c>
      <c r="D46" s="3" t="s">
        <v>115</v>
      </c>
      <c r="E46" s="2"/>
      <c r="F46" s="2"/>
      <c r="G46" s="3" t="s">
        <v>126</v>
      </c>
      <c r="H46" s="3" t="s">
        <v>127</v>
      </c>
      <c r="I46" s="2"/>
    </row>
    <row r="47" customFormat="false" ht="15" hidden="false" customHeight="false" outlineLevel="0" collapsed="false">
      <c r="A47" s="2" t="n">
        <v>46</v>
      </c>
      <c r="B47" s="3" t="s">
        <v>128</v>
      </c>
      <c r="C47" s="5" t="s">
        <v>91</v>
      </c>
      <c r="D47" s="3" t="s">
        <v>115</v>
      </c>
      <c r="E47" s="2"/>
      <c r="F47" s="2"/>
      <c r="G47" s="3" t="s">
        <v>30</v>
      </c>
      <c r="H47" s="3" t="s">
        <v>129</v>
      </c>
      <c r="I47" s="2"/>
    </row>
    <row r="48" customFormat="false" ht="15" hidden="false" customHeight="false" outlineLevel="0" collapsed="false">
      <c r="A48" s="2" t="n">
        <v>47</v>
      </c>
      <c r="B48" s="3" t="s">
        <v>130</v>
      </c>
      <c r="C48" s="5" t="s">
        <v>91</v>
      </c>
      <c r="D48" s="3" t="s">
        <v>131</v>
      </c>
      <c r="E48" s="2"/>
      <c r="F48" s="2"/>
      <c r="G48" s="3" t="s">
        <v>132</v>
      </c>
      <c r="H48" s="3" t="s">
        <v>133</v>
      </c>
      <c r="I48" s="2"/>
    </row>
    <row r="49" customFormat="false" ht="15" hidden="false" customHeight="false" outlineLevel="0" collapsed="false">
      <c r="A49" s="2" t="n">
        <v>48</v>
      </c>
      <c r="B49" s="3" t="s">
        <v>134</v>
      </c>
      <c r="C49" s="5" t="s">
        <v>91</v>
      </c>
      <c r="D49" s="3" t="s">
        <v>131</v>
      </c>
      <c r="E49" s="2"/>
      <c r="F49" s="2"/>
      <c r="G49" s="3" t="s">
        <v>21</v>
      </c>
      <c r="H49" s="3" t="s">
        <v>135</v>
      </c>
      <c r="I49" s="2"/>
    </row>
    <row r="50" customFormat="false" ht="15" hidden="false" customHeight="false" outlineLevel="0" collapsed="false">
      <c r="A50" s="2" t="n">
        <v>49</v>
      </c>
      <c r="B50" s="3" t="s">
        <v>136</v>
      </c>
      <c r="C50" s="5" t="s">
        <v>91</v>
      </c>
      <c r="D50" s="3" t="s">
        <v>131</v>
      </c>
      <c r="E50" s="2"/>
      <c r="F50" s="2"/>
      <c r="G50" s="3" t="s">
        <v>24</v>
      </c>
      <c r="H50" s="3" t="s">
        <v>137</v>
      </c>
      <c r="I50" s="2"/>
    </row>
    <row r="51" customFormat="false" ht="15" hidden="false" customHeight="false" outlineLevel="0" collapsed="false">
      <c r="A51" s="2" t="n">
        <v>50</v>
      </c>
      <c r="B51" s="3" t="s">
        <v>138</v>
      </c>
      <c r="C51" s="5" t="s">
        <v>91</v>
      </c>
      <c r="D51" s="3" t="s">
        <v>131</v>
      </c>
      <c r="E51" s="2"/>
      <c r="F51" s="2"/>
      <c r="G51" s="3" t="s">
        <v>132</v>
      </c>
      <c r="H51" s="3" t="s">
        <v>139</v>
      </c>
      <c r="I51" s="2"/>
    </row>
    <row r="52" customFormat="false" ht="15" hidden="false" customHeight="false" outlineLevel="0" collapsed="false">
      <c r="A52" s="2" t="n">
        <v>51</v>
      </c>
      <c r="B52" s="3" t="s">
        <v>140</v>
      </c>
      <c r="C52" s="5" t="s">
        <v>91</v>
      </c>
      <c r="D52" s="3" t="s">
        <v>141</v>
      </c>
      <c r="E52" s="2"/>
      <c r="F52" s="2"/>
      <c r="G52" s="3" t="s">
        <v>142</v>
      </c>
      <c r="H52" s="3" t="s">
        <v>143</v>
      </c>
      <c r="I52" s="2"/>
    </row>
    <row r="53" customFormat="false" ht="15" hidden="false" customHeight="false" outlineLevel="0" collapsed="false">
      <c r="A53" s="2" t="n">
        <v>52</v>
      </c>
      <c r="B53" s="3" t="s">
        <v>144</v>
      </c>
      <c r="C53" s="5" t="s">
        <v>91</v>
      </c>
      <c r="D53" s="3" t="s">
        <v>141</v>
      </c>
      <c r="E53" s="2"/>
      <c r="F53" s="2"/>
      <c r="G53" s="3" t="s">
        <v>145</v>
      </c>
      <c r="H53" s="3" t="s">
        <v>146</v>
      </c>
      <c r="I53" s="2"/>
    </row>
    <row r="54" customFormat="false" ht="15" hidden="false" customHeight="false" outlineLevel="0" collapsed="false">
      <c r="A54" s="2" t="n">
        <v>53</v>
      </c>
      <c r="B54" s="3" t="s">
        <v>147</v>
      </c>
      <c r="C54" s="5" t="s">
        <v>91</v>
      </c>
      <c r="D54" s="3" t="s">
        <v>141</v>
      </c>
      <c r="E54" s="2"/>
      <c r="F54" s="2"/>
      <c r="G54" s="3" t="s">
        <v>145</v>
      </c>
      <c r="H54" s="3" t="s">
        <v>148</v>
      </c>
      <c r="I54" s="2"/>
    </row>
    <row r="55" customFormat="false" ht="15" hidden="false" customHeight="false" outlineLevel="0" collapsed="false">
      <c r="A55" s="2" t="n">
        <v>54</v>
      </c>
      <c r="B55" s="3" t="s">
        <v>149</v>
      </c>
      <c r="C55" s="5" t="s">
        <v>91</v>
      </c>
      <c r="D55" s="3" t="s">
        <v>141</v>
      </c>
      <c r="E55" s="2"/>
      <c r="F55" s="2"/>
      <c r="G55" s="3" t="s">
        <v>150</v>
      </c>
      <c r="H55" s="3" t="s">
        <v>151</v>
      </c>
      <c r="I55" s="2"/>
    </row>
    <row r="56" customFormat="false" ht="15" hidden="false" customHeight="false" outlineLevel="0" collapsed="false">
      <c r="A56" s="2" t="n">
        <v>55</v>
      </c>
      <c r="B56" s="3" t="s">
        <v>152</v>
      </c>
      <c r="C56" s="5" t="s">
        <v>91</v>
      </c>
      <c r="D56" s="3" t="s">
        <v>153</v>
      </c>
      <c r="E56" s="2"/>
      <c r="F56" s="2"/>
      <c r="G56" s="3" t="s">
        <v>154</v>
      </c>
      <c r="H56" s="3" t="s">
        <v>155</v>
      </c>
      <c r="I56" s="2"/>
    </row>
    <row r="57" customFormat="false" ht="15" hidden="false" customHeight="false" outlineLevel="0" collapsed="false">
      <c r="A57" s="2" t="n">
        <v>56</v>
      </c>
      <c r="B57" s="3" t="s">
        <v>156</v>
      </c>
      <c r="C57" s="5" t="s">
        <v>91</v>
      </c>
      <c r="D57" s="3" t="s">
        <v>153</v>
      </c>
      <c r="E57" s="2"/>
      <c r="F57" s="2"/>
      <c r="G57" s="3" t="s">
        <v>157</v>
      </c>
      <c r="H57" s="3" t="s">
        <v>158</v>
      </c>
      <c r="I57" s="2"/>
    </row>
    <row r="58" customFormat="false" ht="15" hidden="false" customHeight="false" outlineLevel="0" collapsed="false">
      <c r="A58" s="2" t="n">
        <v>57</v>
      </c>
      <c r="B58" s="3" t="s">
        <v>159</v>
      </c>
      <c r="C58" s="5" t="s">
        <v>91</v>
      </c>
      <c r="D58" s="3" t="s">
        <v>153</v>
      </c>
      <c r="E58" s="2"/>
      <c r="F58" s="2"/>
      <c r="G58" s="3" t="s">
        <v>59</v>
      </c>
      <c r="H58" s="3" t="s">
        <v>160</v>
      </c>
      <c r="I58" s="2"/>
    </row>
    <row r="59" customFormat="false" ht="15" hidden="false" customHeight="false" outlineLevel="0" collapsed="false">
      <c r="A59" s="2" t="n">
        <v>58</v>
      </c>
      <c r="B59" s="3" t="s">
        <v>161</v>
      </c>
      <c r="C59" s="5" t="s">
        <v>91</v>
      </c>
      <c r="D59" s="3" t="s">
        <v>85</v>
      </c>
      <c r="E59" s="2"/>
      <c r="F59" s="2"/>
      <c r="G59" s="3" t="s">
        <v>162</v>
      </c>
      <c r="H59" s="3" t="s">
        <v>163</v>
      </c>
      <c r="I59" s="2"/>
    </row>
    <row r="60" customFormat="false" ht="15" hidden="false" customHeight="false" outlineLevel="0" collapsed="false">
      <c r="A60" s="2" t="n">
        <v>59</v>
      </c>
      <c r="B60" s="3" t="s">
        <v>164</v>
      </c>
      <c r="C60" s="5" t="s">
        <v>91</v>
      </c>
      <c r="D60" s="3" t="s">
        <v>85</v>
      </c>
      <c r="E60" s="2"/>
      <c r="F60" s="2"/>
      <c r="G60" s="3" t="s">
        <v>165</v>
      </c>
      <c r="H60" s="3" t="s">
        <v>166</v>
      </c>
      <c r="I60" s="2"/>
    </row>
    <row r="61" customFormat="false" ht="15" hidden="false" customHeight="false" outlineLevel="0" collapsed="false">
      <c r="A61" s="2" t="n">
        <v>60</v>
      </c>
      <c r="B61" s="3" t="s">
        <v>167</v>
      </c>
      <c r="C61" s="5" t="s">
        <v>91</v>
      </c>
      <c r="D61" s="3" t="s">
        <v>85</v>
      </c>
      <c r="E61" s="2"/>
      <c r="F61" s="2"/>
      <c r="G61" s="3" t="s">
        <v>30</v>
      </c>
      <c r="H61" s="3" t="s">
        <v>168</v>
      </c>
      <c r="I61" s="2"/>
    </row>
  </sheetData>
  <autoFilter ref="A1:I61"/>
  <dataValidations count="3">
    <dataValidation allowBlank="true" errorStyle="stop" operator="between" showDropDown="false" showErrorMessage="false" showInputMessage="false" sqref="C2:C200" type="list">
      <formula1>"evde,siparis"</formula1>
      <formula2>0</formula2>
    </dataValidation>
    <dataValidation allowBlank="true" errorStyle="stop" operator="between" showDropDown="false" showErrorMessage="false" showInputMessage="false" sqref="F2:F200" type="list">
      <formula1>"kolay,orta,zor"</formula1>
      <formula2>0</formula2>
    </dataValidation>
    <dataValidation allowBlank="true" errorStyle="stop" operator="between" showDropDown="false" showErrorMessage="false" showInputMessage="false" sqref="I2:I200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6" min="3" style="0" width="14"/>
  </cols>
  <sheetData>
    <row r="1" customFormat="false" ht="16.15" hidden="false" customHeight="false" outlineLevel="0" collapsed="false">
      <c r="A1" s="6" t="s">
        <v>169</v>
      </c>
    </row>
    <row r="2" customFormat="false" ht="15" hidden="false" customHeight="false" outlineLevel="0" collapsed="false">
      <c r="A2" s="7" t="s">
        <v>170</v>
      </c>
      <c r="B2" s="8" t="n">
        <f aca="false">COUNTA('Yemek Listesi'!B2:B61)</f>
        <v>60</v>
      </c>
    </row>
    <row r="3" customFormat="false" ht="15" hidden="false" customHeight="false" outlineLevel="0" collapsed="false">
      <c r="A3" s="7" t="s">
        <v>171</v>
      </c>
      <c r="B3" s="8" t="n">
        <f aca="false">COUNTIF('Yemek Listesi'!C2:C61,"evde")</f>
        <v>30</v>
      </c>
    </row>
    <row r="4" customFormat="false" ht="15" hidden="false" customHeight="false" outlineLevel="0" collapsed="false">
      <c r="A4" s="7" t="s">
        <v>172</v>
      </c>
      <c r="B4" s="8" t="n">
        <f aca="false">COUNTIF('Yemek Listesi'!C2:C61,"siparis")</f>
        <v>30</v>
      </c>
    </row>
    <row r="5" customFormat="false" ht="15" hidden="false" customHeight="false" outlineLevel="0" collapsed="false">
      <c r="A5" s="7" t="s">
        <v>173</v>
      </c>
      <c r="B5" s="8" t="n">
        <f aca="false">COUNTIF('Yemek Listesi'!I2:I61,"✓")</f>
        <v>0</v>
      </c>
    </row>
    <row r="6" customFormat="false" ht="15" hidden="false" customHeight="false" outlineLevel="0" collapsed="false">
      <c r="A6" s="7" t="s">
        <v>174</v>
      </c>
      <c r="B6" s="8" t="n">
        <f aca="false">B2-B5</f>
        <v>60</v>
      </c>
    </row>
    <row r="8" customFormat="false" ht="15" hidden="false" customHeight="true" outlineLevel="0" collapsed="false">
      <c r="A8" s="9" t="s">
        <v>175</v>
      </c>
      <c r="B8" s="9"/>
      <c r="C8" s="9"/>
      <c r="D8" s="9"/>
      <c r="E8" s="9"/>
      <c r="F8" s="9"/>
    </row>
    <row r="9" customFormat="false" ht="42" hidden="false" customHeight="true" outlineLevel="0" collapsed="false">
      <c r="A9" s="10" t="s">
        <v>176</v>
      </c>
      <c r="B9" s="10"/>
      <c r="C9" s="10"/>
      <c r="D9" s="10"/>
      <c r="E9" s="10"/>
      <c r="F9" s="10"/>
    </row>
    <row r="10" customFormat="false" ht="42" hidden="false" customHeight="true" outlineLevel="0" collapsed="false">
      <c r="A10" s="10" t="s">
        <v>177</v>
      </c>
      <c r="B10" s="10"/>
      <c r="C10" s="10"/>
      <c r="D10" s="10"/>
      <c r="E10" s="10"/>
      <c r="F10" s="10"/>
    </row>
    <row r="11" customFormat="false" ht="42" hidden="false" customHeight="true" outlineLevel="0" collapsed="false">
      <c r="A11" s="10" t="s">
        <v>178</v>
      </c>
      <c r="B11" s="10"/>
      <c r="C11" s="10"/>
      <c r="D11" s="10"/>
      <c r="E11" s="10"/>
      <c r="F11" s="10"/>
    </row>
    <row r="12" customFormat="false" ht="42" hidden="false" customHeight="true" outlineLevel="0" collapsed="false">
      <c r="A12" s="10" t="s">
        <v>179</v>
      </c>
      <c r="B12" s="10"/>
      <c r="C12" s="10"/>
      <c r="D12" s="10"/>
      <c r="E12" s="10"/>
      <c r="F12" s="10"/>
    </row>
    <row r="13" customFormat="false" ht="42" hidden="false" customHeight="true" outlineLevel="0" collapsed="false">
      <c r="A13" s="10" t="s">
        <v>180</v>
      </c>
      <c r="B13" s="10"/>
      <c r="C13" s="10"/>
      <c r="D13" s="10"/>
      <c r="E13" s="10"/>
      <c r="F13" s="10"/>
    </row>
  </sheetData>
  <mergeCells count="6">
    <mergeCell ref="A8:F8"/>
    <mergeCell ref="A9:F9"/>
    <mergeCell ref="A10:F10"/>
    <mergeCell ref="A11:F11"/>
    <mergeCell ref="A12:F1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2026-10-06T17:08:32Z</dcterms:created>
  <dc:creator>openpyxl</dc:creator>
  <dc:description/>
  <dc:language>en-US</dc:language>
  <cp:lastModifiedBy/>
  <dcterms:modified xsi:type="dcterms:W3CDTF">2026-10-06T17:08:32Z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